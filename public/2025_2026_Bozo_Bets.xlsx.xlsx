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zo Bets" sheetId="1" r:id="rId5"/>
    <sheet state="visible" name="Side Bets" sheetId="2" r:id="rId6"/>
  </sheets>
  <definedNames/>
  <calcPr/>
</workbook>
</file>

<file path=xl/sharedStrings.xml><?xml version="1.0" encoding="utf-8"?>
<sst xmlns="http://schemas.openxmlformats.org/spreadsheetml/2006/main" count="328" uniqueCount="236">
  <si>
    <t>WK 1</t>
  </si>
  <si>
    <t>Bozo Bet Week 1</t>
  </si>
  <si>
    <t>WK1</t>
  </si>
  <si>
    <t>week #2</t>
  </si>
  <si>
    <t>week 3</t>
  </si>
  <si>
    <t>week 4</t>
  </si>
  <si>
    <t>week 5</t>
  </si>
  <si>
    <t>Wins/Losses</t>
  </si>
  <si>
    <t>week 6</t>
  </si>
  <si>
    <t>week 7</t>
  </si>
  <si>
    <t>week 8</t>
  </si>
  <si>
    <t>Week 9</t>
  </si>
  <si>
    <t>Side Bet #1</t>
  </si>
  <si>
    <t>Week 10</t>
  </si>
  <si>
    <t>Side Bet#2</t>
  </si>
  <si>
    <t>Week 11</t>
  </si>
  <si>
    <t>Week 12</t>
  </si>
  <si>
    <t>Turkey Day</t>
  </si>
  <si>
    <t>Week 15</t>
  </si>
  <si>
    <t>Week 13</t>
  </si>
  <si>
    <t>Week 14</t>
  </si>
  <si>
    <t>Sam</t>
  </si>
  <si>
    <t>Week 16</t>
  </si>
  <si>
    <t>Alabama -13.5</t>
  </si>
  <si>
    <t>week 17</t>
  </si>
  <si>
    <t>Xmas Duggie Gift</t>
  </si>
  <si>
    <t>Kimmet Sunday Funday</t>
  </si>
  <si>
    <t>Shane's I'm Sorry bet</t>
  </si>
  <si>
    <t>WIns/Losses</t>
  </si>
  <si>
    <t>Chiefs ML</t>
  </si>
  <si>
    <t>Combined W/L</t>
  </si>
  <si>
    <t>Patriots -3.5</t>
  </si>
  <si>
    <t>Packers -4.5</t>
  </si>
  <si>
    <t>Texans +6.5</t>
  </si>
  <si>
    <t>Lions +2.5</t>
  </si>
  <si>
    <t>AJ Brown 50 Receiving Yards</t>
  </si>
  <si>
    <t>Oklahoma -20.5</t>
  </si>
  <si>
    <t>James Cook Anytime TD</t>
  </si>
  <si>
    <t>Texans (of Houston) -5.5</t>
  </si>
  <si>
    <t>Texas -2.5</t>
  </si>
  <si>
    <t>Oregon -6.5</t>
  </si>
  <si>
    <t>Josh</t>
  </si>
  <si>
    <t>Oregon -13.5</t>
  </si>
  <si>
    <t>Alabama -9.5</t>
  </si>
  <si>
    <t>Ga Tech -3.5</t>
  </si>
  <si>
    <t>49ers +2.5</t>
  </si>
  <si>
    <t>Ravens -2.5</t>
  </si>
  <si>
    <t>LSU +4</t>
  </si>
  <si>
    <t>Texas A&amp;M -13.5</t>
  </si>
  <si>
    <t>Den -7</t>
  </si>
  <si>
    <t>Vanderbilt -5.5</t>
  </si>
  <si>
    <t>Eagles -3.5</t>
  </si>
  <si>
    <t>Chiefs -2.5</t>
  </si>
  <si>
    <t>Jahmyr Gibbs Anytime TD</t>
  </si>
  <si>
    <t>AJ Brown 5+ Receptions</t>
  </si>
  <si>
    <t>49ers +4.5</t>
  </si>
  <si>
    <t>CLE+8</t>
  </si>
  <si>
    <t>Zach</t>
  </si>
  <si>
    <t>Nebraska -6.5</t>
  </si>
  <si>
    <t>OSU v TX Under</t>
  </si>
  <si>
    <t>Giants ML</t>
  </si>
  <si>
    <t>Browns +6.5</t>
  </si>
  <si>
    <t>Falcons ML</t>
  </si>
  <si>
    <t>Giants +7.5</t>
  </si>
  <si>
    <t>Pickens anytime TD</t>
  </si>
  <si>
    <t>Bears +6.5</t>
  </si>
  <si>
    <t>Jide</t>
  </si>
  <si>
    <t>Cowboys +3.5</t>
  </si>
  <si>
    <t>Gibbs Anytime TD</t>
  </si>
  <si>
    <t>SEA -3.5</t>
  </si>
  <si>
    <t>Rick</t>
  </si>
  <si>
    <t>Wyoming ML</t>
  </si>
  <si>
    <t>1-0</t>
  </si>
  <si>
    <t>Shane</t>
  </si>
  <si>
    <t>Ohio St +3.5</t>
  </si>
  <si>
    <t>Eagles ML</t>
  </si>
  <si>
    <t>Chargers ML</t>
  </si>
  <si>
    <t>Browns +3.5</t>
  </si>
  <si>
    <t>TB BUCS ML</t>
  </si>
  <si>
    <t>Lions/Packers over 42.5</t>
  </si>
  <si>
    <t>Bengals +10.5</t>
  </si>
  <si>
    <t>John</t>
  </si>
  <si>
    <t>Tenn -13.5</t>
  </si>
  <si>
    <t>Josh Jacobs anytime TD</t>
  </si>
  <si>
    <t>Saquan anytime TD</t>
  </si>
  <si>
    <t>Bills -7.5</t>
  </si>
  <si>
    <t>Vikings ML</t>
  </si>
  <si>
    <t>Matt</t>
  </si>
  <si>
    <t>Indiana -16.5</t>
  </si>
  <si>
    <t>Texans ML</t>
  </si>
  <si>
    <t>Kyren Williams anytime TD</t>
  </si>
  <si>
    <t>Raiders +12</t>
  </si>
  <si>
    <t>Kareem Hunt anytime TD</t>
  </si>
  <si>
    <t>Ronnie</t>
  </si>
  <si>
    <t>Rams -6.5</t>
  </si>
  <si>
    <t>Bengals -6</t>
  </si>
  <si>
    <t>Dallas +7.5</t>
  </si>
  <si>
    <t>Texans +4.5</t>
  </si>
  <si>
    <t>Nate</t>
  </si>
  <si>
    <t>Nevada +44.5</t>
  </si>
  <si>
    <t>colts -7</t>
  </si>
  <si>
    <t>Cardinals +9.5</t>
  </si>
  <si>
    <t>Colts ML</t>
  </si>
  <si>
    <t>Colts -13.5</t>
  </si>
  <si>
    <t>Den -7 (-6.5)</t>
  </si>
  <si>
    <t>Ravens -5.5</t>
  </si>
  <si>
    <t>Jags +3.5</t>
  </si>
  <si>
    <t>Oregon -27</t>
  </si>
  <si>
    <t>Keon Coleman over 41.5 yards rec</t>
  </si>
  <si>
    <t>PSU -24</t>
  </si>
  <si>
    <t>Total Odds</t>
  </si>
  <si>
    <t>Wager</t>
  </si>
  <si>
    <t>to win</t>
  </si>
  <si>
    <t>balance</t>
  </si>
  <si>
    <t>SMU -3</t>
  </si>
  <si>
    <t>49ers ML</t>
  </si>
  <si>
    <t>Steelers ML</t>
  </si>
  <si>
    <t>Vandy+12.5</t>
  </si>
  <si>
    <t>OU - 4.5</t>
  </si>
  <si>
    <t>Jags ML</t>
  </si>
  <si>
    <t>Cincy Bearcats -6.5</t>
  </si>
  <si>
    <t>Bears -2.5</t>
  </si>
  <si>
    <t>Patriots+3</t>
  </si>
  <si>
    <t>Jameson Williams over 63.5 receiving yards</t>
  </si>
  <si>
    <t>Saints ML</t>
  </si>
  <si>
    <t xml:space="preserve">Oregon/TT Over 51.5 </t>
  </si>
  <si>
    <t>Seahawks +1.5</t>
  </si>
  <si>
    <t>Broncos +3.5</t>
  </si>
  <si>
    <t>SEA v ARI o43</t>
  </si>
  <si>
    <t>Min/Sea O41.5</t>
  </si>
  <si>
    <t>CAR -2.5</t>
  </si>
  <si>
    <t>Wisconsin +28.5</t>
  </si>
  <si>
    <t>Pats ML</t>
  </si>
  <si>
    <t>Cindy -2.5</t>
  </si>
  <si>
    <t>Bengals -2.5</t>
  </si>
  <si>
    <t>Packers -1.5</t>
  </si>
  <si>
    <t>Bills -6.5</t>
  </si>
  <si>
    <t>Chargers -2.5</t>
  </si>
  <si>
    <t>Lions -4.5</t>
  </si>
  <si>
    <t>TB Bucs ML</t>
  </si>
  <si>
    <t>Bills ML</t>
  </si>
  <si>
    <t>Giants/Lions Over 44.5</t>
  </si>
  <si>
    <t>Denver -2.5</t>
  </si>
  <si>
    <t>Lions +11.5</t>
  </si>
  <si>
    <t>Bears/Packers Over 39.5</t>
  </si>
  <si>
    <t>OSU over 19.5</t>
  </si>
  <si>
    <t>TB Buccs -1.5</t>
  </si>
  <si>
    <t>Bengals -3.5</t>
  </si>
  <si>
    <t>Illinois ML</t>
  </si>
  <si>
    <t>OSU -8.5</t>
  </si>
  <si>
    <t>Cowboys -2.5</t>
  </si>
  <si>
    <t>Georgia -4</t>
  </si>
  <si>
    <t>Georgia Tech ML</t>
  </si>
  <si>
    <t>bengals +2.5</t>
  </si>
  <si>
    <t>cle ML</t>
  </si>
  <si>
    <t>Texas -8.5</t>
  </si>
  <si>
    <t>miami hurricanes ML</t>
  </si>
  <si>
    <t>D Henry ATD</t>
  </si>
  <si>
    <t>lions -7.5</t>
  </si>
  <si>
    <t>Jonathan Taylor ATD</t>
  </si>
  <si>
    <t>Illinois -3 (-2.5)</t>
  </si>
  <si>
    <t>South Carolina ML</t>
  </si>
  <si>
    <t>49ers -1.5</t>
  </si>
  <si>
    <t>Josh Allen +210 passing yards</t>
  </si>
  <si>
    <t>Georgia -14.5</t>
  </si>
  <si>
    <t>Texas Tech -9.5</t>
  </si>
  <si>
    <t>Vikings +9.5</t>
  </si>
  <si>
    <t>Ravens -8</t>
  </si>
  <si>
    <t>Oklahoma -5.5</t>
  </si>
  <si>
    <t>Tampa -2.5</t>
  </si>
  <si>
    <t>OSU ML</t>
  </si>
  <si>
    <t>49ers -6.5</t>
  </si>
  <si>
    <t>Bills -5.5</t>
  </si>
  <si>
    <t>Dallas -3.5</t>
  </si>
  <si>
    <t>Patriots -8.5</t>
  </si>
  <si>
    <t>Buffalo -10.5</t>
  </si>
  <si>
    <t>Boise St -5.5</t>
  </si>
  <si>
    <t>cardinals -3.5</t>
  </si>
  <si>
    <t xml:space="preserve">Philly Eagles ML </t>
  </si>
  <si>
    <t>Oregon +4.5</t>
  </si>
  <si>
    <t>Chargers -6.5</t>
  </si>
  <si>
    <t>Bears ML</t>
  </si>
  <si>
    <t>Jameis Winston 1+ INT</t>
  </si>
  <si>
    <t>Trayveon Henderson Anytime TD</t>
  </si>
  <si>
    <t xml:space="preserve">Jags -3.5 </t>
  </si>
  <si>
    <t>ATL ML</t>
  </si>
  <si>
    <t>JaMarr Chase ATD</t>
  </si>
  <si>
    <t>FIU +41.5</t>
  </si>
  <si>
    <t>Clemson -4</t>
  </si>
  <si>
    <t>Michigan -2.5</t>
  </si>
  <si>
    <t>Colts +3.5</t>
  </si>
  <si>
    <t>OSU over 41.5</t>
  </si>
  <si>
    <t>Toledo -8.5</t>
  </si>
  <si>
    <t>BG -3.5</t>
  </si>
  <si>
    <t>Colts -5.5</t>
  </si>
  <si>
    <t>Penn State -7</t>
  </si>
  <si>
    <t>ND/SYRACUSE Over 50.5</t>
  </si>
  <si>
    <t>Colts -3.5</t>
  </si>
  <si>
    <t>smith-njigba ATD</t>
  </si>
  <si>
    <t>Colts +6.5</t>
  </si>
  <si>
    <t>Broncos -9.5</t>
  </si>
  <si>
    <t>IU ML</t>
  </si>
  <si>
    <t>Reds ML</t>
  </si>
  <si>
    <t>*OSU -14.5</t>
  </si>
  <si>
    <t xml:space="preserve">balance </t>
  </si>
  <si>
    <t>2024/2025</t>
  </si>
  <si>
    <t>2025/2026</t>
  </si>
  <si>
    <t>Shane Week 12 Start</t>
  </si>
  <si>
    <t>22-9</t>
  </si>
  <si>
    <t>12-15</t>
  </si>
  <si>
    <t>34-24</t>
  </si>
  <si>
    <t>17-5</t>
  </si>
  <si>
    <t>4-7</t>
  </si>
  <si>
    <t>21-12</t>
  </si>
  <si>
    <t>14-13</t>
  </si>
  <si>
    <t>10-16</t>
  </si>
  <si>
    <t>24-29</t>
  </si>
  <si>
    <t>13-6</t>
  </si>
  <si>
    <t>4-6</t>
  </si>
  <si>
    <t>17-12</t>
  </si>
  <si>
    <t>18-8</t>
  </si>
  <si>
    <t>4-1</t>
  </si>
  <si>
    <t>23-7</t>
  </si>
  <si>
    <t>17-10</t>
  </si>
  <si>
    <t>40-17</t>
  </si>
  <si>
    <t>16-14</t>
  </si>
  <si>
    <t>17-8</t>
  </si>
  <si>
    <t>33-22</t>
  </si>
  <si>
    <t>19-10</t>
  </si>
  <si>
    <t>12-14</t>
  </si>
  <si>
    <t>31-24</t>
  </si>
  <si>
    <t>14-6</t>
  </si>
  <si>
    <t>16-4</t>
  </si>
  <si>
    <t>30-10</t>
  </si>
  <si>
    <t>18-10</t>
  </si>
  <si>
    <t>36-20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</si>
</sst>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&quot;$&quot;#,##0.00"/>
    <numFmt numFmtId="166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ill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1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4.88"/>
    <col customWidth="1" min="5" max="5" width="28.25"/>
    <col customWidth="1" min="6" max="6" width="23.75"/>
    <col customWidth="1" min="9" max="9" width="14.5"/>
    <col customWidth="1" min="13" max="13" width="20.63"/>
    <col customWidth="1" min="14" max="14" width="27.25"/>
    <col customWidth="1" min="15" max="15" width="17.88"/>
    <col customWidth="1" min="18" max="18" width="20.5"/>
    <col customWidth="1" min="19" max="19" width="16.88"/>
    <col customWidth="1" min="20" max="20" width="20.63"/>
    <col customWidth="1" min="24" max="24" width="11.75"/>
  </cols>
  <sheetData>
    <row r="1">
      <c r="A1" s="1"/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15</v>
      </c>
      <c r="M1" s="2" t="s">
        <v>16</v>
      </c>
      <c r="N1" s="2" t="s">
        <v>19</v>
      </c>
      <c r="O1" s="2" t="s">
        <v>20</v>
      </c>
      <c r="P1" s="2" t="s">
        <v>18</v>
      </c>
      <c r="Q1" s="2" t="s">
        <v>22</v>
      </c>
      <c r="R1" s="2" t="s">
        <v>24</v>
      </c>
      <c r="S1" s="2" t="s">
        <v>25</v>
      </c>
      <c r="T1" s="2" t="s">
        <v>26</v>
      </c>
      <c r="U1" s="2" t="s">
        <v>27</v>
      </c>
      <c r="V1" s="2"/>
      <c r="W1" s="2" t="s">
        <v>28</v>
      </c>
      <c r="X1" s="1" t="s">
        <v>30</v>
      </c>
    </row>
    <row r="2">
      <c r="A2" s="3" t="s">
        <v>21</v>
      </c>
      <c r="B2" s="4" t="s">
        <v>23</v>
      </c>
      <c r="C2" s="8" t="s">
        <v>33</v>
      </c>
      <c r="D2" s="6" t="s">
        <v>36</v>
      </c>
      <c r="E2" s="8" t="s">
        <v>37</v>
      </c>
      <c r="F2" s="6" t="s">
        <v>38</v>
      </c>
      <c r="G2" s="5" t="s">
        <v>39</v>
      </c>
      <c r="H2" s="5" t="s">
        <v>40</v>
      </c>
      <c r="I2" s="8" t="s">
        <v>42</v>
      </c>
      <c r="J2" s="4" t="s">
        <v>43</v>
      </c>
      <c r="K2" s="8" t="s">
        <v>45</v>
      </c>
      <c r="L2" s="8" t="s">
        <v>46</v>
      </c>
      <c r="M2" s="4" t="s">
        <v>48</v>
      </c>
      <c r="N2" s="8" t="s">
        <v>50</v>
      </c>
      <c r="O2" s="4" t="s">
        <v>51</v>
      </c>
      <c r="P2" s="8" t="s">
        <v>35</v>
      </c>
      <c r="Q2" s="4" t="s">
        <v>52</v>
      </c>
      <c r="R2" s="8" t="s">
        <v>51</v>
      </c>
      <c r="S2" s="10" t="s">
        <v>53</v>
      </c>
      <c r="T2" s="8" t="s">
        <v>54</v>
      </c>
      <c r="U2" s="4" t="s">
        <v>55</v>
      </c>
      <c r="V2" s="3" t="s">
        <v>21</v>
      </c>
      <c r="W2" s="11">
        <v>46335.0</v>
      </c>
      <c r="X2" s="16" t="str">
        <f>IFERROR(__xludf.DUMMYFUNCTION("IF('Side Bets'!A3="""", """", LET(val_bozo, VLOOKUP('Side Bets'!A3, 'Bozo Bets'!A:W, 23, FALSE), val_side, 'Side Bets'!K3,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(losses_boz"&amp;"o+losses_side)))"),"12-15")</f>
        <v>12-15</v>
      </c>
    </row>
    <row r="3">
      <c r="A3" s="3" t="s">
        <v>41</v>
      </c>
      <c r="B3" s="8" t="s">
        <v>44</v>
      </c>
      <c r="C3" s="8" t="s">
        <v>104</v>
      </c>
      <c r="D3" s="5" t="s">
        <v>107</v>
      </c>
      <c r="E3" s="4" t="s">
        <v>108</v>
      </c>
      <c r="G3" s="5" t="s">
        <v>109</v>
      </c>
      <c r="H3" s="13"/>
      <c r="I3" s="4" t="s">
        <v>49</v>
      </c>
      <c r="J3" s="4" t="s">
        <v>56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41</v>
      </c>
      <c r="W3" s="11">
        <v>46058.0</v>
      </c>
      <c r="X3" s="16" t="str">
        <f>IFERROR(__xludf.DUMMYFUNCTION("IF('Side Bets'!A4="""", """", LET(val_bozo, VLOOKUP('Side Bets'!A4, 'Bozo Bets'!A:W, 23, FALSE), val_side, 'Side Bets'!K4,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(losses_boz"&amp;"o+losses_side)))"),"4-7")</f>
        <v>4-7</v>
      </c>
    </row>
    <row r="4">
      <c r="A4" s="3" t="s">
        <v>57</v>
      </c>
      <c r="B4" s="4" t="s">
        <v>58</v>
      </c>
      <c r="C4" s="4" t="s">
        <v>114</v>
      </c>
      <c r="D4" s="6" t="s">
        <v>115</v>
      </c>
      <c r="E4" s="8" t="s">
        <v>116</v>
      </c>
      <c r="F4" s="6" t="s">
        <v>62</v>
      </c>
      <c r="G4" s="5" t="s">
        <v>117</v>
      </c>
      <c r="H4" s="5" t="s">
        <v>61</v>
      </c>
      <c r="I4" s="8" t="s">
        <v>118</v>
      </c>
      <c r="J4" s="4" t="s">
        <v>63</v>
      </c>
      <c r="K4" s="8" t="s">
        <v>119</v>
      </c>
      <c r="L4" s="3"/>
      <c r="M4" s="4" t="s">
        <v>120</v>
      </c>
      <c r="N4" s="8" t="s">
        <v>121</v>
      </c>
      <c r="O4" s="8" t="s">
        <v>40</v>
      </c>
      <c r="P4" s="4" t="s">
        <v>65</v>
      </c>
      <c r="Q4" s="3"/>
      <c r="R4" s="8" t="s">
        <v>122</v>
      </c>
      <c r="S4" s="10" t="s">
        <v>123</v>
      </c>
      <c r="T4" s="8" t="s">
        <v>124</v>
      </c>
      <c r="U4" s="4" t="s">
        <v>125</v>
      </c>
      <c r="V4" s="3" t="s">
        <v>57</v>
      </c>
      <c r="W4" s="11">
        <v>46274.0</v>
      </c>
      <c r="X4" s="16" t="str">
        <f>IFERROR(__xludf.DUMMYFUNCTION("IF('Side Bets'!A5="""", """", LET(val_bozo, VLOOKUP('Side Bets'!A5, 'Bozo Bets'!A:W, 23, FALSE), val_side, 'Side Bets'!K5,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(losses_boz"&amp;"o+losses_side)))"),"10-16")</f>
        <v>10-16</v>
      </c>
    </row>
    <row r="5">
      <c r="A5" s="3" t="s">
        <v>66</v>
      </c>
      <c r="C5" s="4" t="s">
        <v>126</v>
      </c>
      <c r="J5" s="4" t="s">
        <v>67</v>
      </c>
      <c r="K5" s="8" t="s">
        <v>127</v>
      </c>
      <c r="L5" s="8" t="s">
        <v>128</v>
      </c>
      <c r="M5" s="3"/>
      <c r="N5" s="3"/>
      <c r="O5" s="4" t="s">
        <v>129</v>
      </c>
      <c r="P5" s="8" t="s">
        <v>69</v>
      </c>
      <c r="Q5" s="4" t="s">
        <v>130</v>
      </c>
      <c r="R5" s="3"/>
      <c r="S5" s="3"/>
      <c r="T5" s="3"/>
      <c r="U5" s="3"/>
      <c r="V5" s="3" t="s">
        <v>66</v>
      </c>
      <c r="W5" s="11">
        <v>46085.0</v>
      </c>
      <c r="X5" s="16" t="str">
        <f>IFERROR(__xludf.DUMMYFUNCTION("IF('Side Bets'!A6="""", """", LET(val_bozo, VLOOKUP('Side Bets'!A6, 'Bozo Bets'!A:W, 23, FALSE), val_side, 'Side Bets'!K6,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(losses_boz"&amp;"o+losses_side)))"),"4-6")</f>
        <v>4-6</v>
      </c>
    </row>
    <row r="6">
      <c r="A6" s="3" t="s">
        <v>70</v>
      </c>
      <c r="B6" s="13"/>
      <c r="I6" s="4" t="s">
        <v>131</v>
      </c>
      <c r="J6" s="8" t="s">
        <v>71</v>
      </c>
      <c r="K6" s="8" t="s">
        <v>132</v>
      </c>
      <c r="L6" s="3"/>
      <c r="M6" s="3"/>
      <c r="N6" s="3"/>
      <c r="O6" s="3"/>
      <c r="P6" s="3"/>
      <c r="Q6" s="3"/>
      <c r="R6" s="3"/>
      <c r="S6" s="3"/>
      <c r="T6" s="8" t="s">
        <v>133</v>
      </c>
      <c r="U6" s="3"/>
      <c r="V6" s="3" t="s">
        <v>70</v>
      </c>
      <c r="W6" s="11">
        <v>46082.0</v>
      </c>
      <c r="X6" s="16" t="str">
        <f>IFERROR(__xludf.DUMMYFUNCTION("IF('Side Bets'!A7="""", """", LET(val_bozo, VLOOKUP('Side Bets'!A7, 'Bozo Bets'!A:W, 23, FALSE), val_side, 'Side Bets'!K7,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(losses_boz"&amp;"o+losses_side)))"),"4-1")</f>
        <v>4-1</v>
      </c>
    </row>
    <row r="7">
      <c r="A7" s="3" t="s">
        <v>73</v>
      </c>
      <c r="B7" s="8" t="s">
        <v>74</v>
      </c>
      <c r="C7" s="4" t="s">
        <v>134</v>
      </c>
      <c r="D7" s="6" t="s">
        <v>135</v>
      </c>
      <c r="E7" s="8" t="s">
        <v>136</v>
      </c>
      <c r="F7" s="5" t="s">
        <v>137</v>
      </c>
      <c r="G7" s="5" t="s">
        <v>75</v>
      </c>
      <c r="H7" s="6" t="s">
        <v>76</v>
      </c>
      <c r="I7" s="8" t="s">
        <v>77</v>
      </c>
      <c r="J7" s="8" t="s">
        <v>78</v>
      </c>
      <c r="K7" s="4" t="s">
        <v>138</v>
      </c>
      <c r="L7" s="4" t="s">
        <v>139</v>
      </c>
      <c r="M7" s="8" t="s">
        <v>140</v>
      </c>
      <c r="N7" s="8" t="s">
        <v>141</v>
      </c>
      <c r="O7" s="4" t="s">
        <v>142</v>
      </c>
      <c r="P7" s="8" t="s">
        <v>80</v>
      </c>
      <c r="Q7" s="8" t="s">
        <v>143</v>
      </c>
      <c r="R7" s="4" t="s">
        <v>144</v>
      </c>
      <c r="S7" s="3"/>
      <c r="T7" s="4" t="s">
        <v>139</v>
      </c>
      <c r="U7" s="4" t="s">
        <v>145</v>
      </c>
      <c r="V7" s="3" t="s">
        <v>73</v>
      </c>
      <c r="W7" s="11">
        <v>46304.0</v>
      </c>
      <c r="X7" s="16" t="str">
        <f>IFERROR(__xludf.DUMMYFUNCTION("IF('Side Bets'!A8="""", """", LET(val_bozo, VLOOKUP('Side Bets'!A8, 'Bozo Bets'!A:W, 23, FALSE), val_side, 'Side Bets'!K8,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(losses_boz"&amp;"o+losses_side)))"),"17-10")</f>
        <v>17-10</v>
      </c>
    </row>
    <row r="8">
      <c r="A8" s="3" t="s">
        <v>81</v>
      </c>
      <c r="B8" s="8" t="s">
        <v>82</v>
      </c>
      <c r="C8" s="8" t="s">
        <v>146</v>
      </c>
      <c r="D8" s="6" t="s">
        <v>147</v>
      </c>
      <c r="E8" s="4" t="s">
        <v>148</v>
      </c>
      <c r="F8" s="6" t="s">
        <v>149</v>
      </c>
      <c r="G8" s="6" t="s">
        <v>150</v>
      </c>
      <c r="H8" s="6" t="s">
        <v>151</v>
      </c>
      <c r="I8" s="8" t="s">
        <v>152</v>
      </c>
      <c r="J8" s="8" t="s">
        <v>85</v>
      </c>
      <c r="K8" s="4" t="s">
        <v>153</v>
      </c>
      <c r="L8" s="4" t="s">
        <v>154</v>
      </c>
      <c r="M8" s="4" t="s">
        <v>83</v>
      </c>
      <c r="N8" s="8" t="s">
        <v>155</v>
      </c>
      <c r="O8" s="8" t="s">
        <v>156</v>
      </c>
      <c r="P8" s="8" t="s">
        <v>86</v>
      </c>
      <c r="Q8" s="4" t="s">
        <v>157</v>
      </c>
      <c r="R8" s="4" t="s">
        <v>29</v>
      </c>
      <c r="S8" s="4" t="s">
        <v>158</v>
      </c>
      <c r="T8" s="8" t="s">
        <v>159</v>
      </c>
      <c r="U8" s="3"/>
      <c r="V8" s="3" t="s">
        <v>81</v>
      </c>
      <c r="W8" s="11">
        <v>46363.0</v>
      </c>
      <c r="X8" s="16" t="str">
        <f>IFERROR(__xludf.DUMMYFUNCTION("IF('Side Bets'!A9="""", """", LET(val_bozo, VLOOKUP('Side Bets'!A9, 'Bozo Bets'!A:W, 23, FALSE), val_side, 'Side Bets'!K9, wins_bozo, IF(ISNUMBER(val_bozo), MONTH(val_bozo), INDEX(SPLIT(val_bozo, ""-""), 1)), losses_bozo, IF(ISNUMBER(val_bozo), DAY(val_bo"&amp;"zo), INDEX(SPLIT(val_bozo, ""-""), 2)), wins_side, IF(ISNUMBER(val_side), MONTH(val_side), INDEX(SPLIT(val_side, ""-""), 1)), losses_side, IF(ISNUMBER(val_side), DAY(val_side), INDEX(SPLIT(val_side, ""-""), 2)), (wins_bozo+wins_side) &amp; ""-"" &amp; (losses_boz"&amp;"o+losses_side)))"),"17-8")</f>
        <v>17-8</v>
      </c>
    </row>
    <row r="9">
      <c r="A9" s="3" t="s">
        <v>87</v>
      </c>
      <c r="B9" s="4" t="s">
        <v>88</v>
      </c>
      <c r="C9" s="8" t="s">
        <v>160</v>
      </c>
      <c r="D9" s="5" t="s">
        <v>161</v>
      </c>
      <c r="E9" s="4" t="s">
        <v>162</v>
      </c>
      <c r="F9" s="5" t="s">
        <v>163</v>
      </c>
      <c r="G9" s="6" t="s">
        <v>164</v>
      </c>
      <c r="H9" s="6" t="s">
        <v>165</v>
      </c>
      <c r="I9" s="4" t="s">
        <v>91</v>
      </c>
      <c r="J9" s="4" t="s">
        <v>62</v>
      </c>
      <c r="K9" s="8" t="s">
        <v>166</v>
      </c>
      <c r="L9" s="3"/>
      <c r="M9" s="4" t="s">
        <v>167</v>
      </c>
      <c r="N9" s="8" t="s">
        <v>168</v>
      </c>
      <c r="O9" s="8" t="s">
        <v>169</v>
      </c>
      <c r="P9" s="4" t="s">
        <v>170</v>
      </c>
      <c r="Q9" s="8" t="s">
        <v>171</v>
      </c>
      <c r="R9" s="4" t="s">
        <v>172</v>
      </c>
      <c r="S9" s="8" t="s">
        <v>173</v>
      </c>
      <c r="T9" s="8" t="s">
        <v>174</v>
      </c>
      <c r="U9" s="8" t="s">
        <v>175</v>
      </c>
      <c r="V9" s="3" t="s">
        <v>87</v>
      </c>
      <c r="W9" s="11">
        <v>46304.0</v>
      </c>
      <c r="X9" s="16" t="str">
        <f>IFERROR(__xludf.DUMMYFUNCTION("IF('Side Bets'!A10="""", """", LET(val_bozo, VLOOKUP('Side Bets'!A10, 'Bozo Bets'!A:W, 23, FALSE), val_side, 'Side Bets'!K10, wins_bozo, IF(ISNUMBER(val_bozo), MONTH(val_bozo), INDEX(SPLIT(val_bozo, ""-""), 1)), losses_bozo, IF(ISNUMBER(val_bozo), DAY(val"&amp;"_bozo), INDEX(SPLIT(val_bozo, ""-""), 2)), wins_side, IF(ISNUMBER(val_side), MONTH(val_side), INDEX(SPLIT(val_side, ""-""), 1)), losses_side, IF(ISNUMBER(val_side), DAY(val_side), INDEX(SPLIT(val_side, ""-""), 2)), (wins_bozo+wins_side) &amp; ""-"" &amp; (losses_"&amp;"bozo+losses_side)))"),"12-14")</f>
        <v>12-14</v>
      </c>
    </row>
    <row r="10">
      <c r="A10" s="3" t="s">
        <v>93</v>
      </c>
      <c r="B10" s="4" t="s">
        <v>176</v>
      </c>
      <c r="C10" s="8" t="s">
        <v>177</v>
      </c>
      <c r="D10" s="6" t="s">
        <v>178</v>
      </c>
      <c r="E10" s="20"/>
      <c r="F10" s="6" t="s">
        <v>179</v>
      </c>
      <c r="G10" s="3"/>
      <c r="H10" s="6" t="s">
        <v>94</v>
      </c>
      <c r="I10" s="8" t="s">
        <v>75</v>
      </c>
      <c r="J10" s="4" t="s">
        <v>95</v>
      </c>
      <c r="K10" s="8" t="s">
        <v>180</v>
      </c>
      <c r="L10" s="8" t="s">
        <v>181</v>
      </c>
      <c r="M10" s="8" t="s">
        <v>182</v>
      </c>
      <c r="N10" s="4" t="s">
        <v>183</v>
      </c>
      <c r="O10" s="8" t="s">
        <v>184</v>
      </c>
      <c r="P10" s="8" t="s">
        <v>97</v>
      </c>
      <c r="Q10" s="3"/>
      <c r="R10" s="8" t="s">
        <v>185</v>
      </c>
      <c r="S10" s="3"/>
      <c r="T10" s="8" t="s">
        <v>186</v>
      </c>
      <c r="U10" s="3"/>
      <c r="V10" s="3" t="s">
        <v>93</v>
      </c>
      <c r="W10" s="11">
        <v>46359.0</v>
      </c>
      <c r="X10" s="16" t="str">
        <f>IFERROR(__xludf.DUMMYFUNCTION("IF('Side Bets'!A11="""", """", LET(val_bozo, VLOOKUP('Side Bets'!A11, 'Bozo Bets'!A:W, 23, FALSE), val_side, 'Side Bets'!K11, wins_bozo, IF(ISNUMBER(val_bozo), MONTH(val_bozo), INDEX(SPLIT(val_bozo, ""-""), 1)), losses_bozo, IF(ISNUMBER(val_bozo), DAY(val"&amp;"_bozo), INDEX(SPLIT(val_bozo, ""-""), 2)), wins_side, IF(ISNUMBER(val_side), MONTH(val_side), INDEX(SPLIT(val_side, ""-""), 1)), losses_side, IF(ISNUMBER(val_side), DAY(val_side), INDEX(SPLIT(val_side, ""-""), 2)), (wins_bozo+wins_side) &amp; ""-"" &amp; (losses_"&amp;"bozo+losses_side)))"),"16-4")</f>
        <v>16-4</v>
      </c>
    </row>
    <row r="11">
      <c r="A11" s="3" t="s">
        <v>98</v>
      </c>
      <c r="B11" s="8" t="s">
        <v>99</v>
      </c>
      <c r="C11" s="8" t="s">
        <v>187</v>
      </c>
      <c r="D11" s="5" t="s">
        <v>188</v>
      </c>
      <c r="E11" s="8" t="s">
        <v>189</v>
      </c>
      <c r="F11" s="5" t="s">
        <v>190</v>
      </c>
      <c r="G11" s="6" t="s">
        <v>191</v>
      </c>
      <c r="H11" s="5" t="s">
        <v>192</v>
      </c>
      <c r="I11" s="4" t="s">
        <v>193</v>
      </c>
      <c r="J11" s="8" t="s">
        <v>103</v>
      </c>
      <c r="K11" s="4" t="s">
        <v>102</v>
      </c>
      <c r="L11" s="8" t="s">
        <v>194</v>
      </c>
      <c r="M11" s="8" t="s">
        <v>195</v>
      </c>
      <c r="N11" s="8" t="s">
        <v>196</v>
      </c>
      <c r="O11" s="4" t="s">
        <v>197</v>
      </c>
      <c r="P11" s="8" t="s">
        <v>106</v>
      </c>
      <c r="Q11" s="4" t="s">
        <v>198</v>
      </c>
      <c r="R11" s="4" t="s">
        <v>199</v>
      </c>
      <c r="S11" s="4" t="s">
        <v>200</v>
      </c>
      <c r="T11" s="8" t="s">
        <v>119</v>
      </c>
      <c r="U11" s="8" t="s">
        <v>201</v>
      </c>
      <c r="V11" s="3" t="s">
        <v>98</v>
      </c>
      <c r="W11" s="11">
        <v>46335.0</v>
      </c>
      <c r="X11" s="16" t="str">
        <f>IFERROR(__xludf.DUMMYFUNCTION("IF('Side Bets'!A12="""", """", LET(val_bozo, VLOOKUP('Side Bets'!A12, 'Bozo Bets'!A:W, 23, FALSE), val_side, 'Side Bets'!K12, wins_bozo, IF(ISNUMBER(val_bozo), MONTH(val_bozo), INDEX(SPLIT(val_bozo, ""-""), 1)), losses_bozo, IF(ISNUMBER(val_bozo), DAY(val"&amp;"_bozo), INDEX(SPLIT(val_bozo, ""-""), 2)), wins_side, IF(ISNUMBER(val_side), MONTH(val_side), INDEX(SPLIT(val_side, ""-""), 1)), losses_side, IF(ISNUMBER(val_side), DAY(val_side), INDEX(SPLIT(val_side, ""-""), 2)), (wins_bozo+wins_side) &amp; ""-"" &amp; (losses_"&amp;"bozo+losses_side)))"),"18-10")</f>
        <v>18-10</v>
      </c>
    </row>
    <row r="12">
      <c r="A12" s="3"/>
      <c r="B12" s="13"/>
      <c r="C12" s="6" t="s">
        <v>202</v>
      </c>
      <c r="H12" s="6" t="s">
        <v>203</v>
      </c>
    </row>
    <row r="13">
      <c r="A13" s="3" t="s">
        <v>110</v>
      </c>
      <c r="B13" s="13">
        <f>7701</f>
        <v>7701</v>
      </c>
      <c r="C13" s="13">
        <v>16107.0</v>
      </c>
      <c r="D13" s="13">
        <v>8062.0</v>
      </c>
      <c r="E13" s="13">
        <v>5534.0</v>
      </c>
      <c r="F13" s="13">
        <v>4706.0</v>
      </c>
      <c r="G13" s="13">
        <v>3775.0</v>
      </c>
      <c r="H13" s="13">
        <v>7785.0</v>
      </c>
      <c r="J13" s="13">
        <v>22532.0</v>
      </c>
      <c r="K13" s="13">
        <v>15223.0</v>
      </c>
      <c r="L13" s="13"/>
      <c r="M13" s="13"/>
      <c r="N13" s="13">
        <v>5797.0</v>
      </c>
      <c r="O13" s="13">
        <v>6327.0</v>
      </c>
      <c r="P13" s="13">
        <v>6134.0</v>
      </c>
      <c r="Q13" s="13">
        <v>1539.0</v>
      </c>
      <c r="R13" s="13">
        <v>2524.0</v>
      </c>
      <c r="S13" s="13"/>
      <c r="T13" s="13">
        <v>3334.0</v>
      </c>
      <c r="U13" s="13"/>
      <c r="V13" s="13"/>
      <c r="W13" s="13"/>
    </row>
    <row r="14">
      <c r="A14" s="3" t="s">
        <v>111</v>
      </c>
      <c r="B14" s="13">
        <v>20.0</v>
      </c>
      <c r="C14" s="13">
        <v>10.0</v>
      </c>
      <c r="D14" s="13">
        <v>10.0</v>
      </c>
      <c r="E14" s="13">
        <v>10.0</v>
      </c>
      <c r="F14" s="13">
        <v>10.0</v>
      </c>
      <c r="G14" s="13">
        <v>10.0</v>
      </c>
      <c r="H14" s="13">
        <v>10.0</v>
      </c>
      <c r="I14" s="13">
        <v>10.0</v>
      </c>
      <c r="J14" s="13">
        <v>10.0</v>
      </c>
      <c r="K14" s="13">
        <v>10.0</v>
      </c>
      <c r="L14" s="13"/>
      <c r="M14" s="13">
        <v>10.0</v>
      </c>
      <c r="N14" s="13">
        <v>10.0</v>
      </c>
      <c r="O14" s="13">
        <v>10.0</v>
      </c>
      <c r="P14" s="13">
        <v>10.0</v>
      </c>
      <c r="Q14" s="13">
        <v>15.0</v>
      </c>
      <c r="R14" s="13">
        <v>15.0</v>
      </c>
      <c r="S14" s="13"/>
      <c r="T14" s="13">
        <v>10.0</v>
      </c>
      <c r="U14" s="13"/>
      <c r="V14" s="13"/>
      <c r="W14" s="13"/>
    </row>
    <row r="15">
      <c r="A15" s="3" t="s">
        <v>112</v>
      </c>
      <c r="B15" s="21">
        <v>1560.34</v>
      </c>
      <c r="C15" s="21">
        <v>1620.0</v>
      </c>
      <c r="D15" s="13">
        <v>877.0</v>
      </c>
      <c r="E15" s="13">
        <v>563.48</v>
      </c>
      <c r="F15" s="13">
        <v>480.62</v>
      </c>
      <c r="G15" s="13">
        <v>387.52</v>
      </c>
      <c r="H15" s="13">
        <v>788.53</v>
      </c>
      <c r="J15" s="13">
        <v>2263.9</v>
      </c>
      <c r="K15" s="13">
        <v>1533.1</v>
      </c>
      <c r="L15" s="13"/>
      <c r="M15" s="13"/>
      <c r="N15" s="13">
        <v>590.0</v>
      </c>
      <c r="O15" s="13">
        <v>642.0</v>
      </c>
      <c r="P15" s="13">
        <v>623.0</v>
      </c>
      <c r="Q15" s="13">
        <v>245.0</v>
      </c>
      <c r="R15" s="13">
        <v>394.0</v>
      </c>
      <c r="S15" s="13"/>
      <c r="T15" s="13">
        <v>343.0</v>
      </c>
      <c r="U15" s="13"/>
      <c r="V15" s="13"/>
      <c r="W15" s="13"/>
    </row>
    <row r="16">
      <c r="A16" s="3" t="s">
        <v>204</v>
      </c>
      <c r="B16" s="13">
        <v>180.0</v>
      </c>
      <c r="C16" s="13">
        <v>130.0</v>
      </c>
      <c r="D16" s="13">
        <v>120.0</v>
      </c>
      <c r="E16" s="13">
        <v>110.0</v>
      </c>
      <c r="F16" s="13">
        <v>100.0</v>
      </c>
      <c r="G16" s="13">
        <v>90.0</v>
      </c>
      <c r="H16" s="13">
        <v>70.0</v>
      </c>
      <c r="I16" s="13">
        <v>50.0</v>
      </c>
      <c r="J16" s="13">
        <v>30.0</v>
      </c>
      <c r="K16" s="13">
        <v>10.0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7"/>
    </row>
    <row r="18">
      <c r="A18" s="17"/>
      <c r="N18" s="13" t="s">
        <v>205</v>
      </c>
      <c r="O18" s="13" t="s">
        <v>206</v>
      </c>
    </row>
    <row r="19">
      <c r="A19" s="3" t="s">
        <v>207</v>
      </c>
      <c r="N19" s="15" t="s">
        <v>208</v>
      </c>
      <c r="O19" s="22" t="s">
        <v>209</v>
      </c>
      <c r="P19" s="15"/>
      <c r="Q19" s="3" t="s">
        <v>21</v>
      </c>
      <c r="R19" s="15" t="s">
        <v>210</v>
      </c>
    </row>
    <row r="20">
      <c r="A20" s="23">
        <v>70.0</v>
      </c>
      <c r="N20" s="15" t="s">
        <v>211</v>
      </c>
      <c r="O20" s="22" t="s">
        <v>212</v>
      </c>
      <c r="P20" s="15"/>
      <c r="Q20" s="3" t="s">
        <v>41</v>
      </c>
      <c r="R20" s="15" t="s">
        <v>213</v>
      </c>
    </row>
    <row r="21">
      <c r="A21" s="17"/>
      <c r="N21" s="15" t="s">
        <v>214</v>
      </c>
      <c r="O21" s="22" t="s">
        <v>215</v>
      </c>
      <c r="P21" s="15"/>
      <c r="Q21" s="3" t="s">
        <v>57</v>
      </c>
      <c r="R21" s="15" t="s">
        <v>216</v>
      </c>
    </row>
    <row r="22">
      <c r="A22" s="17"/>
      <c r="N22" s="15" t="s">
        <v>217</v>
      </c>
      <c r="O22" s="22" t="s">
        <v>218</v>
      </c>
      <c r="P22" s="15"/>
      <c r="Q22" s="3" t="s">
        <v>66</v>
      </c>
      <c r="R22" s="15" t="s">
        <v>219</v>
      </c>
    </row>
    <row r="23">
      <c r="A23" s="17"/>
      <c r="N23" s="15" t="s">
        <v>220</v>
      </c>
      <c r="O23" s="22" t="s">
        <v>221</v>
      </c>
      <c r="P23" s="15"/>
      <c r="Q23" s="3" t="s">
        <v>70</v>
      </c>
      <c r="R23" s="15" t="s">
        <v>208</v>
      </c>
    </row>
    <row r="24">
      <c r="A24" s="17"/>
      <c r="N24" s="15" t="s">
        <v>222</v>
      </c>
      <c r="O24" s="22" t="s">
        <v>223</v>
      </c>
      <c r="P24" s="15"/>
      <c r="Q24" s="3" t="s">
        <v>73</v>
      </c>
      <c r="R24" s="15" t="s">
        <v>224</v>
      </c>
    </row>
    <row r="25">
      <c r="A25" s="17"/>
      <c r="N25" s="15" t="s">
        <v>225</v>
      </c>
      <c r="O25" s="22" t="s">
        <v>226</v>
      </c>
      <c r="P25" s="15"/>
      <c r="Q25" s="3" t="s">
        <v>81</v>
      </c>
      <c r="R25" s="15" t="s">
        <v>227</v>
      </c>
    </row>
    <row r="26">
      <c r="A26" s="17"/>
      <c r="N26" s="15" t="s">
        <v>228</v>
      </c>
      <c r="O26" s="22" t="s">
        <v>229</v>
      </c>
      <c r="P26" s="15"/>
      <c r="Q26" s="3" t="s">
        <v>87</v>
      </c>
      <c r="R26" s="15" t="s">
        <v>230</v>
      </c>
    </row>
    <row r="27">
      <c r="A27" s="17"/>
      <c r="N27" s="15" t="s">
        <v>231</v>
      </c>
      <c r="O27" s="22" t="s">
        <v>232</v>
      </c>
      <c r="P27" s="15"/>
      <c r="Q27" s="3" t="s">
        <v>93</v>
      </c>
      <c r="R27" s="15" t="s">
        <v>233</v>
      </c>
    </row>
    <row r="28">
      <c r="A28" s="17"/>
      <c r="N28" s="15" t="s">
        <v>234</v>
      </c>
      <c r="O28" s="22" t="s">
        <v>234</v>
      </c>
      <c r="P28" s="15"/>
      <c r="Q28" s="3" t="s">
        <v>98</v>
      </c>
      <c r="R28" s="15" t="s">
        <v>235</v>
      </c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5" max="5" width="21.0"/>
    <col customWidth="1" min="6" max="6" width="16.5"/>
    <col customWidth="1" min="8" max="8" width="19.88"/>
    <col customWidth="1" min="12" max="12" width="11.75"/>
  </cols>
  <sheetData>
    <row r="1">
      <c r="A1" s="1"/>
      <c r="B1" s="2" t="s">
        <v>0</v>
      </c>
      <c r="C1" s="2" t="s">
        <v>2</v>
      </c>
      <c r="D1" s="1"/>
      <c r="E1" s="1"/>
      <c r="F1" s="1"/>
      <c r="G1" s="1"/>
      <c r="H1" s="1"/>
      <c r="I1" s="1"/>
      <c r="J1" s="1"/>
      <c r="K1" s="2" t="s">
        <v>7</v>
      </c>
      <c r="M1" s="1"/>
    </row>
    <row r="2">
      <c r="A2" s="1"/>
      <c r="B2" s="2" t="s">
        <v>12</v>
      </c>
      <c r="C2" s="2" t="s">
        <v>14</v>
      </c>
      <c r="D2" s="1"/>
      <c r="E2" s="1"/>
      <c r="F2" s="1"/>
      <c r="G2" s="1"/>
      <c r="H2" s="2" t="s">
        <v>17</v>
      </c>
      <c r="I2" s="2" t="s">
        <v>18</v>
      </c>
      <c r="J2" s="1"/>
      <c r="K2" s="1"/>
      <c r="M2" s="1"/>
    </row>
    <row r="3">
      <c r="A3" s="3" t="s">
        <v>21</v>
      </c>
      <c r="B3" s="4" t="s">
        <v>23</v>
      </c>
      <c r="C3" s="4" t="s">
        <v>23</v>
      </c>
      <c r="D3" s="5" t="s">
        <v>29</v>
      </c>
      <c r="E3" s="6" t="s">
        <v>31</v>
      </c>
      <c r="F3" s="5" t="s">
        <v>32</v>
      </c>
      <c r="G3" s="7"/>
      <c r="H3" s="5" t="s">
        <v>34</v>
      </c>
      <c r="I3" s="4" t="s">
        <v>35</v>
      </c>
      <c r="J3" s="3" t="s">
        <v>21</v>
      </c>
      <c r="K3" s="9">
        <v>46028.0</v>
      </c>
    </row>
    <row r="4">
      <c r="A4" s="3" t="s">
        <v>41</v>
      </c>
      <c r="B4" s="8" t="s">
        <v>44</v>
      </c>
      <c r="C4" s="8" t="s">
        <v>47</v>
      </c>
      <c r="F4" s="4" t="s">
        <v>49</v>
      </c>
      <c r="G4" s="12" t="s">
        <v>56</v>
      </c>
      <c r="I4" s="3"/>
      <c r="J4" s="3" t="s">
        <v>41</v>
      </c>
      <c r="K4" s="9">
        <v>46055.0</v>
      </c>
    </row>
    <row r="5">
      <c r="A5" s="3" t="s">
        <v>57</v>
      </c>
      <c r="B5" s="4" t="s">
        <v>58</v>
      </c>
      <c r="C5" s="8" t="s">
        <v>59</v>
      </c>
      <c r="D5" s="5" t="s">
        <v>60</v>
      </c>
      <c r="E5" s="5" t="s">
        <v>61</v>
      </c>
      <c r="F5" s="5" t="s">
        <v>62</v>
      </c>
      <c r="G5" s="12" t="s">
        <v>63</v>
      </c>
      <c r="H5" s="5" t="s">
        <v>64</v>
      </c>
      <c r="I5" s="4" t="s">
        <v>65</v>
      </c>
      <c r="J5" s="3" t="s">
        <v>57</v>
      </c>
      <c r="K5" s="9">
        <v>46029.0</v>
      </c>
    </row>
    <row r="6">
      <c r="A6" s="3" t="s">
        <v>66</v>
      </c>
      <c r="G6" s="12" t="s">
        <v>67</v>
      </c>
      <c r="H6" s="4" t="s">
        <v>68</v>
      </c>
      <c r="I6" s="8" t="s">
        <v>69</v>
      </c>
      <c r="J6" s="3" t="s">
        <v>66</v>
      </c>
      <c r="K6" s="9">
        <v>46024.0</v>
      </c>
    </row>
    <row r="7">
      <c r="A7" s="3" t="s">
        <v>70</v>
      </c>
      <c r="B7" s="13"/>
      <c r="C7" s="13"/>
      <c r="G7" s="14" t="s">
        <v>71</v>
      </c>
      <c r="I7" s="3"/>
      <c r="J7" s="3" t="s">
        <v>70</v>
      </c>
      <c r="K7" s="15" t="s">
        <v>72</v>
      </c>
    </row>
    <row r="8">
      <c r="A8" s="3" t="s">
        <v>73</v>
      </c>
      <c r="B8" s="8" t="s">
        <v>74</v>
      </c>
      <c r="C8" s="8" t="s">
        <v>74</v>
      </c>
      <c r="D8" s="5" t="s">
        <v>75</v>
      </c>
      <c r="E8" s="6" t="s">
        <v>76</v>
      </c>
      <c r="F8" s="8" t="s">
        <v>77</v>
      </c>
      <c r="G8" s="14" t="s">
        <v>78</v>
      </c>
      <c r="H8" s="6" t="s">
        <v>79</v>
      </c>
      <c r="I8" s="8" t="s">
        <v>80</v>
      </c>
      <c r="J8" s="3" t="s">
        <v>73</v>
      </c>
      <c r="K8" s="9">
        <v>46204.0</v>
      </c>
    </row>
    <row r="9">
      <c r="A9" s="3" t="s">
        <v>81</v>
      </c>
      <c r="B9" s="8" t="s">
        <v>82</v>
      </c>
      <c r="C9" s="8" t="s">
        <v>82</v>
      </c>
      <c r="E9" s="6" t="s">
        <v>83</v>
      </c>
      <c r="F9" s="4" t="s">
        <v>84</v>
      </c>
      <c r="G9" s="14" t="s">
        <v>85</v>
      </c>
      <c r="I9" s="8" t="s">
        <v>86</v>
      </c>
      <c r="J9" s="3" t="s">
        <v>81</v>
      </c>
      <c r="K9" s="9">
        <v>46143.0</v>
      </c>
    </row>
    <row r="10">
      <c r="A10" s="3" t="s">
        <v>87</v>
      </c>
      <c r="B10" s="4" t="s">
        <v>88</v>
      </c>
      <c r="C10" s="4" t="s">
        <v>88</v>
      </c>
      <c r="D10" s="6" t="s">
        <v>89</v>
      </c>
      <c r="E10" s="6" t="s">
        <v>90</v>
      </c>
      <c r="F10" s="4" t="s">
        <v>91</v>
      </c>
      <c r="G10" s="12" t="s">
        <v>62</v>
      </c>
      <c r="H10" s="5" t="s">
        <v>92</v>
      </c>
      <c r="I10" s="3"/>
      <c r="J10" s="3" t="s">
        <v>87</v>
      </c>
      <c r="K10" s="9">
        <v>46058.0</v>
      </c>
    </row>
    <row r="11">
      <c r="A11" s="3" t="s">
        <v>93</v>
      </c>
      <c r="B11" s="3"/>
      <c r="C11" s="3"/>
      <c r="E11" s="6" t="s">
        <v>94</v>
      </c>
      <c r="F11" s="8" t="s">
        <v>75</v>
      </c>
      <c r="G11" s="12" t="s">
        <v>95</v>
      </c>
      <c r="H11" s="6" t="s">
        <v>96</v>
      </c>
      <c r="I11" s="8" t="s">
        <v>97</v>
      </c>
      <c r="J11" s="3" t="s">
        <v>93</v>
      </c>
      <c r="K11" s="9">
        <v>46113.0</v>
      </c>
    </row>
    <row r="12">
      <c r="A12" s="3" t="s">
        <v>98</v>
      </c>
      <c r="B12" s="8" t="s">
        <v>99</v>
      </c>
      <c r="C12" s="8" t="s">
        <v>99</v>
      </c>
      <c r="D12" s="6" t="s">
        <v>100</v>
      </c>
      <c r="E12" s="6" t="s">
        <v>101</v>
      </c>
      <c r="F12" s="6" t="s">
        <v>102</v>
      </c>
      <c r="G12" s="14" t="s">
        <v>103</v>
      </c>
      <c r="H12" s="5" t="s">
        <v>105</v>
      </c>
      <c r="I12" s="8" t="s">
        <v>106</v>
      </c>
      <c r="J12" s="3" t="s">
        <v>98</v>
      </c>
      <c r="K12" s="9">
        <v>46204.0</v>
      </c>
    </row>
    <row r="13">
      <c r="A13" s="17"/>
    </row>
    <row r="14">
      <c r="A14" s="3" t="s">
        <v>110</v>
      </c>
      <c r="B14" s="18">
        <v>4468.0</v>
      </c>
      <c r="C14" s="13">
        <v>4647.0</v>
      </c>
      <c r="E14" s="13">
        <v>3725.0</v>
      </c>
      <c r="F14" s="13">
        <v>12559.0</v>
      </c>
      <c r="G14" s="13">
        <v>13778.0</v>
      </c>
      <c r="H14" s="13">
        <v>3240.0</v>
      </c>
    </row>
    <row r="15">
      <c r="A15" s="3" t="s">
        <v>111</v>
      </c>
      <c r="B15" s="13">
        <v>20.0</v>
      </c>
      <c r="C15" s="13">
        <v>20.0</v>
      </c>
      <c r="D15" s="13">
        <v>10.0</v>
      </c>
      <c r="E15" s="13">
        <v>10.0</v>
      </c>
      <c r="F15" s="13">
        <v>10.0</v>
      </c>
      <c r="G15" s="13">
        <v>10.0</v>
      </c>
      <c r="H15" s="13">
        <v>10.0</v>
      </c>
    </row>
    <row r="16">
      <c r="A16" s="3" t="s">
        <v>112</v>
      </c>
      <c r="B16" s="19">
        <v>913.72</v>
      </c>
      <c r="C16" s="13">
        <v>949.57</v>
      </c>
      <c r="E16" s="13">
        <v>382.5</v>
      </c>
      <c r="F16" s="13">
        <v>1265.9</v>
      </c>
      <c r="G16" s="13">
        <v>1387.89</v>
      </c>
      <c r="H16" s="13">
        <v>334.0</v>
      </c>
    </row>
    <row r="17">
      <c r="A17" s="3" t="s">
        <v>113</v>
      </c>
      <c r="B17" s="13">
        <v>160.0</v>
      </c>
      <c r="C17" s="13">
        <v>140.0</v>
      </c>
      <c r="D17" s="13">
        <v>80.0</v>
      </c>
      <c r="E17" s="13">
        <v>60.0</v>
      </c>
      <c r="F17" s="13">
        <v>40.0</v>
      </c>
      <c r="G17" s="13">
        <v>20.0</v>
      </c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</sheetData>
  <drawing r:id="rId1"/>
</worksheet>
</file>